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5023117\Documents\GitHub\fate-model-manuscript\data\Ottawa\"/>
    </mc:Choice>
  </mc:AlternateContent>
  <bookViews>
    <workbookView xWindow="0" yWindow="0" windowWidth="23040" windowHeight="8808" activeTab="9"/>
  </bookViews>
  <sheets>
    <sheet name="N1_UF" sheetId="1" r:id="rId1"/>
    <sheet name="N1_CF" sheetId="2" r:id="rId2"/>
    <sheet name="flow" sheetId="8" r:id="rId3"/>
    <sheet name="N2_UF" sheetId="3" r:id="rId4"/>
    <sheet name="N2_CF" sheetId="4" r:id="rId5"/>
    <sheet name="PMMoV_UF" sheetId="5" r:id="rId6"/>
    <sheet name="PMMoV_CF" sheetId="6" r:id="rId7"/>
    <sheet name="Residence Time" sheetId="7" r:id="rId8"/>
    <sheet name="TS" sheetId="9" r:id="rId9"/>
    <sheet name="VS" sheetId="10" r:id="rId10"/>
  </sheets>
  <calcPr calcId="162913"/>
</workbook>
</file>

<file path=xl/calcChain.xml><?xml version="1.0" encoding="utf-8"?>
<calcChain xmlns="http://schemas.openxmlformats.org/spreadsheetml/2006/main">
  <c r="B7" i="2" l="1"/>
</calcChain>
</file>

<file path=xl/comments1.xml><?xml version="1.0" encoding="utf-8"?>
<comments xmlns="http://schemas.openxmlformats.org/spreadsheetml/2006/main">
  <authors>
    <author>Carolin &amp; Grant</author>
    <author>tc={5A58914F-A3D8-404B-8C97-1F6BD1A27170}</author>
  </authors>
  <commentList>
    <comment ref="A11" authorId="0" shapeId="0">
      <text>
        <r>
          <rPr>
            <sz val="11"/>
            <color theme="1"/>
            <rFont val="Calibri"/>
          </rPr>
          <t>D was sampled on Apr 27</t>
        </r>
      </text>
    </comment>
    <comment ref="D11" authorId="1" shapeId="0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Divide by 2 for graph?</t>
        </r>
      </text>
    </comment>
  </commentList>
</comments>
</file>

<file path=xl/comments2.xml><?xml version="1.0" encoding="utf-8"?>
<comments xmlns="http://schemas.openxmlformats.org/spreadsheetml/2006/main">
  <authors>
    <author>Carolin &amp; Grant</author>
  </authors>
  <commentList>
    <comment ref="A11" authorId="0" shapeId="0">
      <text>
        <r>
          <rPr>
            <sz val="11"/>
            <color theme="1"/>
            <rFont val="Calibri"/>
          </rPr>
          <t>D was sampled on Apr 27</t>
        </r>
      </text>
    </comment>
  </commentList>
</comments>
</file>

<file path=xl/comments3.xml><?xml version="1.0" encoding="utf-8"?>
<comments xmlns="http://schemas.openxmlformats.org/spreadsheetml/2006/main">
  <authors>
    <author>Carolin &amp; Grant</author>
  </authors>
  <commentList>
    <comment ref="A7" authorId="0" shapeId="0">
      <text>
        <r>
          <rPr>
            <sz val="11"/>
            <color theme="1"/>
            <rFont val="Calibri"/>
          </rPr>
          <t>D was sampled on Apr 27</t>
        </r>
      </text>
    </comment>
  </commentList>
</comments>
</file>

<file path=xl/sharedStrings.xml><?xml version="1.0" encoding="utf-8"?>
<sst xmlns="http://schemas.openxmlformats.org/spreadsheetml/2006/main" count="186" uniqueCount="17">
  <si>
    <t>date</t>
  </si>
  <si>
    <t>WWTP</t>
  </si>
  <si>
    <t>no data</t>
  </si>
  <si>
    <t>HRT_hr</t>
  </si>
  <si>
    <t>D</t>
  </si>
  <si>
    <t>target</t>
  </si>
  <si>
    <t>note</t>
  </si>
  <si>
    <t>N1_UF</t>
  </si>
  <si>
    <t>grab sample</t>
  </si>
  <si>
    <t>N1_CF</t>
  </si>
  <si>
    <t>flow_rate_L_per_s</t>
  </si>
  <si>
    <t>N2_UF</t>
  </si>
  <si>
    <t>N2_CF</t>
  </si>
  <si>
    <t>PMMoV_UF</t>
  </si>
  <si>
    <t>PMMoV_CF</t>
  </si>
  <si>
    <t>TS_mg_per_L</t>
  </si>
  <si>
    <t>VS_mg_per_L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</si>
</sst>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164" fontId="0" fillId="2" borderId="1" xfId="0" applyNumberFormat="1" applyFill="1" applyBorder="1"/>
    <xf numFmtId="0" fontId="0" fillId="0" borderId="2" xfId="0" applyBorder="1" applyAlignment="1">
      <alignment horizontal="center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55d102f87cf84273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609600</xdr:colOff>
      <xdr:row>20</xdr:row>
      <xdr:rowOff>152400</xdr:rowOff>
    </xdr:to>
    <xdr:sp macro="" textlink="">
      <xdr:nvSpPr>
        <xdr:cNvPr id="1027" name="Text Box 3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887730</xdr:colOff>
      <xdr:row>20</xdr:row>
      <xdr:rowOff>152400</xdr:rowOff>
    </xdr:to>
    <xdr:sp macro="" textlink="">
      <xdr:nvSpPr>
        <xdr:cNvPr id="2050" name="Text Box 2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624840</xdr:colOff>
      <xdr:row>20</xdr:row>
      <xdr:rowOff>152400</xdr:rowOff>
    </xdr:to>
    <xdr:sp macro="" textlink="">
      <xdr:nvSpPr>
        <xdr:cNvPr id="3074" name="Text Box 2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Carolin Bitter" id="{2D0F0BA1-1A1D-412D-899B-CFE4E1B4CF4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D11" dT="2026-01-21T13:44:38.33" personId="{2D0F0BA1-1A1D-412D-899B-CFE4E1B4CF41}" id="{5A58914F-A3D8-404B-8C97-1F6BD1A27170}">
    <xltc:text>Divide by 2 for graph?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86e5d1ff541945df" Type="http://schemas.microsoft.com/office/2017/10/relationships/threadedComment" Target="../threadedcomments/threadedcomment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workbookViewId="0">
      <selection activeCell="G10" sqref="G10"/>
    </sheetView>
  </sheetViews>
  <sheetFormatPr defaultRowHeight="14.4" x14ac:dyDescent="0.55000000000000004"/>
  <cols>
    <col min="5" max="5" width="13.05078125" customWidth="1"/>
  </cols>
  <sheetData>
    <row r="1" spans="1:6" x14ac:dyDescent="0.55000000000000004">
      <c r="A1" s="1" t="s">
        <v>0</v>
      </c>
      <c r="B1" s="2" t="s">
        <v>1</v>
      </c>
      <c r="C1" s="2" t="s">
        <v>4</v>
      </c>
      <c r="D1" s="2" t="s">
        <v>5</v>
      </c>
      <c r="E1" s="7" t="s">
        <v>6</v>
      </c>
      <c r="F1" s="7"/>
    </row>
    <row r="2" spans="1:6" x14ac:dyDescent="0.55000000000000004">
      <c r="A2" s="3">
        <v>44251</v>
      </c>
      <c r="B2" s="4">
        <v>10.766335275754754</v>
      </c>
      <c r="C2" s="4">
        <v>3.4658088782257037</v>
      </c>
      <c r="D2" s="6" t="s">
        <v>7</v>
      </c>
      <c r="E2" s="7"/>
    </row>
    <row r="3" spans="1:6" x14ac:dyDescent="0.55000000000000004">
      <c r="A3" s="3">
        <v>44258</v>
      </c>
      <c r="B3" s="4">
        <v>8.825995072517518</v>
      </c>
      <c r="C3" s="4">
        <v>8.3432864054279197</v>
      </c>
      <c r="D3" s="4" t="s">
        <v>7</v>
      </c>
      <c r="E3" s="7"/>
    </row>
    <row r="4" spans="1:6" x14ac:dyDescent="0.55000000000000004">
      <c r="A4" s="3">
        <v>44265</v>
      </c>
      <c r="B4" s="4">
        <v>2.6303023857670165</v>
      </c>
      <c r="C4" s="4">
        <v>0.87732367364649344</v>
      </c>
      <c r="D4" s="4" t="s">
        <v>7</v>
      </c>
      <c r="E4" s="7"/>
    </row>
    <row r="5" spans="1:6" x14ac:dyDescent="0.55000000000000004">
      <c r="A5" s="3">
        <v>44272</v>
      </c>
      <c r="B5" s="4">
        <v>1.5203690205941978</v>
      </c>
      <c r="C5" s="4">
        <v>1.0330113331205439</v>
      </c>
      <c r="D5" s="4" t="s">
        <v>7</v>
      </c>
      <c r="E5" s="7"/>
    </row>
    <row r="6" spans="1:6" x14ac:dyDescent="0.55000000000000004">
      <c r="A6" s="3">
        <v>44279</v>
      </c>
      <c r="B6" s="4">
        <v>2.2481356316507517</v>
      </c>
      <c r="C6" s="4">
        <v>2.4999670276330277</v>
      </c>
      <c r="D6" s="4" t="s">
        <v>7</v>
      </c>
      <c r="E6" s="7"/>
    </row>
    <row r="7" spans="1:6" x14ac:dyDescent="0.55000000000000004">
      <c r="A7" s="3">
        <v>44286</v>
      </c>
      <c r="B7" s="4">
        <v>10.098173329147878</v>
      </c>
      <c r="C7" s="4">
        <v>5.4119524407564326</v>
      </c>
      <c r="D7" s="4" t="s">
        <v>7</v>
      </c>
      <c r="E7" s="7"/>
    </row>
    <row r="8" spans="1:6" x14ac:dyDescent="0.55000000000000004">
      <c r="A8" s="3">
        <v>44294</v>
      </c>
      <c r="B8" s="4">
        <v>15.655436283123388</v>
      </c>
      <c r="C8" s="4">
        <v>2.710512430417261</v>
      </c>
      <c r="D8" s="6" t="s">
        <v>7</v>
      </c>
      <c r="E8" s="7"/>
    </row>
    <row r="9" spans="1:6" x14ac:dyDescent="0.55000000000000004">
      <c r="A9" s="3">
        <v>44300</v>
      </c>
      <c r="B9" s="4">
        <v>18.966142460257998</v>
      </c>
      <c r="C9" s="4">
        <v>63.677198661824463</v>
      </c>
      <c r="D9" s="4" t="s">
        <v>7</v>
      </c>
      <c r="E9" s="7"/>
    </row>
    <row r="10" spans="1:6" x14ac:dyDescent="0.55000000000000004">
      <c r="A10" s="3">
        <v>44307</v>
      </c>
      <c r="B10" s="6">
        <v>11.985077377374797</v>
      </c>
      <c r="C10" s="6">
        <v>32.152042469031983</v>
      </c>
      <c r="D10" s="6" t="s">
        <v>7</v>
      </c>
      <c r="E10" s="7" t="s">
        <v>8</v>
      </c>
    </row>
    <row r="11" spans="1:6" x14ac:dyDescent="0.55000000000000004">
      <c r="A11" s="3">
        <v>44314</v>
      </c>
      <c r="B11" s="4">
        <v>60.171079051046938</v>
      </c>
      <c r="C11" s="4">
        <v>127.075</v>
      </c>
      <c r="D11" s="8" t="s">
        <v>7</v>
      </c>
      <c r="E11" s="7"/>
    </row>
    <row r="12" spans="1:6" x14ac:dyDescent="0.55000000000000004">
      <c r="A12" s="3">
        <v>44321</v>
      </c>
      <c r="B12" s="4">
        <v>6.5281929836116888</v>
      </c>
      <c r="C12" s="4">
        <v>6.5525006202818812</v>
      </c>
      <c r="D12" s="4" t="s">
        <v>7</v>
      </c>
      <c r="E12" s="7"/>
    </row>
    <row r="13" spans="1:6" x14ac:dyDescent="0.55000000000000004">
      <c r="A13" s="3">
        <v>44328</v>
      </c>
      <c r="B13" s="4">
        <v>9.6718041322914416</v>
      </c>
      <c r="C13" s="4">
        <v>37.011733934185557</v>
      </c>
      <c r="D13" s="4" t="s">
        <v>7</v>
      </c>
      <c r="E13" s="7"/>
    </row>
    <row r="14" spans="1:6" x14ac:dyDescent="0.55000000000000004">
      <c r="A14" s="3">
        <v>44335</v>
      </c>
      <c r="B14" s="4">
        <v>26.900461553765417</v>
      </c>
      <c r="C14" s="4">
        <v>37.957265571044047</v>
      </c>
      <c r="D14" s="4" t="s">
        <v>7</v>
      </c>
      <c r="E14" s="7"/>
    </row>
    <row r="15" spans="1:6" x14ac:dyDescent="0.55000000000000004">
      <c r="A15" s="3">
        <v>44343</v>
      </c>
      <c r="B15" s="4">
        <v>2.5122150634167824</v>
      </c>
      <c r="C15" s="4">
        <v>9.1798851237616201</v>
      </c>
      <c r="D15" s="4" t="s">
        <v>7</v>
      </c>
      <c r="E15" s="7"/>
    </row>
    <row r="16" spans="1:6" x14ac:dyDescent="0.55000000000000004">
      <c r="A16" s="3">
        <v>44349</v>
      </c>
      <c r="B16" s="4">
        <v>1.3611798414769569</v>
      </c>
      <c r="C16" s="4">
        <v>0.45274079377692678</v>
      </c>
      <c r="D16" s="6" t="s">
        <v>7</v>
      </c>
      <c r="E16" s="7"/>
    </row>
    <row r="17" spans="1:5" x14ac:dyDescent="0.55000000000000004">
      <c r="A17" s="3">
        <v>44356</v>
      </c>
      <c r="B17" s="4">
        <v>1.953122425146145</v>
      </c>
      <c r="C17" s="4">
        <v>7.265640280854762</v>
      </c>
      <c r="D17" s="4" t="s">
        <v>7</v>
      </c>
      <c r="E17" s="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4.4" x14ac:dyDescent="0.55000000000000004"/>
  <cols>
    <col min="1" max="1" width="16.62890625" customWidth="1"/>
    <col min="5" max="5" width="13.1015625" customWidth="1"/>
  </cols>
  <sheetData>
    <row r="1" spans="1:6" x14ac:dyDescent="0.55000000000000004">
      <c r="A1" s="1" t="s">
        <v>0</v>
      </c>
      <c r="B1" s="2" t="s">
        <v>1</v>
      </c>
      <c r="C1" s="2" t="s">
        <v>4</v>
      </c>
      <c r="D1" s="2" t="s">
        <v>5</v>
      </c>
      <c r="E1" s="7" t="s">
        <v>6</v>
      </c>
      <c r="F1" s="7"/>
    </row>
    <row r="2" spans="1:6" x14ac:dyDescent="0.55000000000000004">
      <c r="A2" s="3">
        <v>44279</v>
      </c>
      <c r="B2" s="4">
        <v>1.8333699143774156</v>
      </c>
      <c r="C2" s="4">
        <v>12.077915576561784</v>
      </c>
      <c r="D2" s="4" t="s">
        <v>9</v>
      </c>
      <c r="E2" s="7"/>
    </row>
    <row r="3" spans="1:6" x14ac:dyDescent="0.55000000000000004">
      <c r="A3" s="3">
        <v>44286</v>
      </c>
      <c r="B3" s="4">
        <v>9.3187503321798015</v>
      </c>
      <c r="C3" s="4">
        <v>21.51428077903034</v>
      </c>
      <c r="D3" s="4" t="s">
        <v>9</v>
      </c>
      <c r="E3" s="7"/>
    </row>
    <row r="4" spans="1:6" x14ac:dyDescent="0.55000000000000004">
      <c r="A4" s="3">
        <v>44294</v>
      </c>
      <c r="B4" s="4">
        <v>49.054273778580182</v>
      </c>
      <c r="C4" s="4">
        <v>3.1578674718143134</v>
      </c>
      <c r="D4" s="6" t="s">
        <v>9</v>
      </c>
      <c r="E4" s="7"/>
    </row>
    <row r="5" spans="1:6" x14ac:dyDescent="0.55000000000000004">
      <c r="A5" s="3">
        <v>44300</v>
      </c>
      <c r="B5" s="4">
        <v>42.588269250293529</v>
      </c>
      <c r="C5" s="4">
        <v>34.342726146449159</v>
      </c>
      <c r="D5" s="4" t="s">
        <v>9</v>
      </c>
      <c r="E5" s="7"/>
    </row>
    <row r="6" spans="1:6" x14ac:dyDescent="0.55000000000000004">
      <c r="A6" s="3">
        <v>44307</v>
      </c>
      <c r="B6" s="6">
        <v>27.868386836754773</v>
      </c>
      <c r="C6" s="6">
        <v>21.543644018167186</v>
      </c>
      <c r="D6" s="6" t="s">
        <v>9</v>
      </c>
      <c r="E6" s="7" t="s">
        <v>8</v>
      </c>
    </row>
    <row r="7" spans="1:6" x14ac:dyDescent="0.55000000000000004">
      <c r="A7" s="3">
        <v>44314</v>
      </c>
      <c r="B7" s="8">
        <f>507.552468986693/4</f>
        <v>126.88811724667325</v>
      </c>
      <c r="C7" s="4">
        <v>12.787775342118298</v>
      </c>
      <c r="D7" s="4" t="s">
        <v>9</v>
      </c>
      <c r="E7" s="7"/>
    </row>
    <row r="8" spans="1:6" x14ac:dyDescent="0.55000000000000004">
      <c r="A8" s="3">
        <v>44321</v>
      </c>
      <c r="B8" s="4">
        <v>16.765484813813547</v>
      </c>
      <c r="C8" s="4">
        <v>18.179928392374229</v>
      </c>
      <c r="D8" s="4" t="s">
        <v>9</v>
      </c>
      <c r="E8" s="7"/>
    </row>
    <row r="9" spans="1:6" x14ac:dyDescent="0.55000000000000004">
      <c r="A9" s="3">
        <v>44328</v>
      </c>
      <c r="B9" s="4">
        <v>22.604718141735418</v>
      </c>
      <c r="C9" s="4">
        <v>9.9658359640884786</v>
      </c>
      <c r="D9" s="4" t="s">
        <v>9</v>
      </c>
      <c r="E9" s="7"/>
    </row>
    <row r="10" spans="1:6" x14ac:dyDescent="0.55000000000000004">
      <c r="A10" s="3">
        <v>44335</v>
      </c>
      <c r="B10" s="4">
        <v>21.779913697108839</v>
      </c>
      <c r="C10" s="4">
        <v>14.551214305997712</v>
      </c>
      <c r="D10" s="4" t="s">
        <v>9</v>
      </c>
      <c r="E10" s="7"/>
    </row>
    <row r="11" spans="1:6" x14ac:dyDescent="0.55000000000000004">
      <c r="A11" s="3">
        <v>44343</v>
      </c>
      <c r="B11" s="4">
        <v>1.575013902586335</v>
      </c>
      <c r="C11" s="4">
        <v>2.6829210048275991</v>
      </c>
      <c r="D11" s="4" t="s">
        <v>9</v>
      </c>
      <c r="E11" s="7"/>
    </row>
    <row r="12" spans="1:6" x14ac:dyDescent="0.55000000000000004">
      <c r="A12" s="3">
        <v>44349</v>
      </c>
      <c r="B12" s="4">
        <v>4.1871059601013663</v>
      </c>
      <c r="C12" s="4">
        <v>0.51157186985198633</v>
      </c>
      <c r="D12" s="6" t="s">
        <v>9</v>
      </c>
      <c r="E12" s="7"/>
    </row>
    <row r="13" spans="1:6" x14ac:dyDescent="0.55000000000000004">
      <c r="A13" s="3">
        <v>44356</v>
      </c>
      <c r="B13" s="4">
        <v>2.6011045361544847</v>
      </c>
      <c r="C13" s="4">
        <v>7.0437228394926255</v>
      </c>
      <c r="D13" s="4" t="s">
        <v>9</v>
      </c>
      <c r="E1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15" sqref="E15"/>
    </sheetView>
  </sheetViews>
  <sheetFormatPr defaultRowHeight="14.4" x14ac:dyDescent="0.55000000000000004"/>
  <cols>
    <col min="1" max="1" width="14.15625" customWidth="1"/>
    <col min="4" max="4" width="22.89453125" customWidth="1"/>
    <col min="5" max="5" width="19.1015625" customWidth="1"/>
  </cols>
  <sheetData>
    <row r="1" spans="1:5" x14ac:dyDescent="0.55000000000000004">
      <c r="A1" s="2" t="s">
        <v>0</v>
      </c>
      <c r="B1" s="2" t="s">
        <v>1</v>
      </c>
      <c r="C1" s="2" t="s">
        <v>4</v>
      </c>
      <c r="D1" s="2" t="s">
        <v>5</v>
      </c>
      <c r="E1" s="7"/>
    </row>
    <row r="2" spans="1:5" x14ac:dyDescent="0.55000000000000004">
      <c r="A2" s="3">
        <v>44251</v>
      </c>
      <c r="B2" s="15">
        <v>3910.9953703703704</v>
      </c>
      <c r="C2" s="15">
        <v>49.442181822300299</v>
      </c>
      <c r="D2" s="17" t="s">
        <v>10</v>
      </c>
      <c r="E2" s="7"/>
    </row>
    <row r="3" spans="1:5" x14ac:dyDescent="0.55000000000000004">
      <c r="A3" s="3">
        <v>44258</v>
      </c>
      <c r="B3" s="15">
        <v>3993.8835470085473</v>
      </c>
      <c r="C3" s="15">
        <v>24.70142972</v>
      </c>
      <c r="D3" s="17" t="s">
        <v>10</v>
      </c>
      <c r="E3" s="7"/>
    </row>
    <row r="4" spans="1:5" x14ac:dyDescent="0.55000000000000004">
      <c r="A4" s="3">
        <v>44265</v>
      </c>
      <c r="B4" s="15">
        <v>3979.0684234454206</v>
      </c>
      <c r="C4" s="15">
        <v>24.22223254</v>
      </c>
      <c r="D4" s="17" t="s">
        <v>10</v>
      </c>
      <c r="E4" s="7"/>
    </row>
    <row r="5" spans="1:5" x14ac:dyDescent="0.55000000000000004">
      <c r="A5" s="3">
        <v>44272</v>
      </c>
      <c r="B5" s="15">
        <v>5463.0647773833134</v>
      </c>
      <c r="C5" s="15">
        <v>24.918517640000001</v>
      </c>
      <c r="D5" s="17" t="s">
        <v>10</v>
      </c>
      <c r="E5" s="7"/>
    </row>
    <row r="6" spans="1:5" x14ac:dyDescent="0.55000000000000004">
      <c r="A6" s="3">
        <v>44279</v>
      </c>
      <c r="B6" s="15">
        <v>5829.3511279642235</v>
      </c>
      <c r="C6" s="15">
        <v>24.713235659999999</v>
      </c>
      <c r="D6" s="17" t="s">
        <v>10</v>
      </c>
      <c r="E6" s="7"/>
    </row>
    <row r="7" spans="1:5" x14ac:dyDescent="0.55000000000000004">
      <c r="A7" s="3">
        <v>44286</v>
      </c>
      <c r="B7" s="15">
        <v>7634.6430866647579</v>
      </c>
      <c r="C7" s="15">
        <v>24.990398599999999</v>
      </c>
      <c r="D7" s="17" t="s">
        <v>10</v>
      </c>
      <c r="E7" s="7"/>
    </row>
    <row r="8" spans="1:5" x14ac:dyDescent="0.55000000000000004">
      <c r="A8" s="3">
        <v>44294</v>
      </c>
      <c r="B8" s="15">
        <v>4880.252849002849</v>
      </c>
      <c r="C8" s="15">
        <v>56.167381850398691</v>
      </c>
      <c r="D8" s="17" t="s">
        <v>10</v>
      </c>
      <c r="E8" s="7"/>
    </row>
    <row r="9" spans="1:5" x14ac:dyDescent="0.55000000000000004">
      <c r="A9" s="3">
        <v>44300</v>
      </c>
      <c r="B9" s="15">
        <v>4411.0576923076924</v>
      </c>
      <c r="C9" s="15">
        <v>23.73709324</v>
      </c>
      <c r="D9" s="17" t="s">
        <v>10</v>
      </c>
      <c r="E9" s="7"/>
    </row>
    <row r="10" spans="1:5" x14ac:dyDescent="0.55000000000000004">
      <c r="A10" s="3">
        <v>44307</v>
      </c>
      <c r="B10" s="16">
        <v>3344.9074074074074</v>
      </c>
      <c r="C10" s="16">
        <v>49.35357576306339</v>
      </c>
      <c r="D10" s="17" t="s">
        <v>10</v>
      </c>
      <c r="E10" s="7" t="s">
        <v>8</v>
      </c>
    </row>
    <row r="11" spans="1:5" x14ac:dyDescent="0.55000000000000004">
      <c r="A11" s="3">
        <v>44314</v>
      </c>
      <c r="B11" s="15">
        <v>4022.0725949925813</v>
      </c>
      <c r="C11" s="15">
        <v>23.956917440000002</v>
      </c>
      <c r="D11" s="17" t="s">
        <v>10</v>
      </c>
      <c r="E11" s="7"/>
    </row>
    <row r="12" spans="1:5" x14ac:dyDescent="0.55000000000000004">
      <c r="A12" s="3">
        <v>44321</v>
      </c>
      <c r="B12" s="15">
        <v>4730.4182085564053</v>
      </c>
      <c r="C12" s="15">
        <v>25.151392919999999</v>
      </c>
      <c r="D12" s="17" t="s">
        <v>10</v>
      </c>
      <c r="E12" s="7"/>
    </row>
    <row r="13" spans="1:5" x14ac:dyDescent="0.55000000000000004">
      <c r="A13" s="3">
        <v>44328</v>
      </c>
      <c r="B13" s="15">
        <v>4428.9451821930861</v>
      </c>
      <c r="C13" s="15">
        <v>24.424128400000001</v>
      </c>
      <c r="D13" s="17" t="s">
        <v>10</v>
      </c>
      <c r="E13" s="7"/>
    </row>
    <row r="14" spans="1:5" x14ac:dyDescent="0.55000000000000004">
      <c r="A14" s="3">
        <v>44335</v>
      </c>
      <c r="B14" s="15">
        <v>4043.0468588613753</v>
      </c>
      <c r="C14" s="15">
        <v>23.65646542</v>
      </c>
      <c r="D14" s="17" t="s">
        <v>10</v>
      </c>
      <c r="E14" s="7"/>
    </row>
    <row r="15" spans="1:5" x14ac:dyDescent="0.55000000000000004">
      <c r="A15" s="3">
        <v>44343</v>
      </c>
      <c r="B15" s="15">
        <v>3828.5906362353853</v>
      </c>
      <c r="C15" s="15">
        <v>23.6263203</v>
      </c>
      <c r="D15" s="17" t="s">
        <v>10</v>
      </c>
      <c r="E15" s="7"/>
    </row>
    <row r="16" spans="1:5" x14ac:dyDescent="0.55000000000000004">
      <c r="A16" s="3">
        <v>44349</v>
      </c>
      <c r="B16" s="15">
        <v>3421.4429838917417</v>
      </c>
      <c r="C16" s="15">
        <v>54.935757614421391</v>
      </c>
      <c r="D16" s="17" t="s">
        <v>10</v>
      </c>
      <c r="E16" s="7"/>
    </row>
    <row r="17" spans="1:5" x14ac:dyDescent="0.55000000000000004">
      <c r="A17" s="3">
        <v>44356</v>
      </c>
      <c r="B17" s="15">
        <v>3609.0368881270515</v>
      </c>
      <c r="C17" s="15">
        <v>24.015270780000002</v>
      </c>
      <c r="D17" s="17" t="s">
        <v>10</v>
      </c>
      <c r="E1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4.4" x14ac:dyDescent="0.55000000000000004"/>
  <sheetData>
    <row r="1" spans="1:6" x14ac:dyDescent="0.55000000000000004">
      <c r="A1" s="1" t="s">
        <v>0</v>
      </c>
      <c r="B1" s="2" t="s">
        <v>1</v>
      </c>
      <c r="C1" s="2" t="s">
        <v>4</v>
      </c>
      <c r="D1" s="2" t="s">
        <v>5</v>
      </c>
      <c r="E1" s="7" t="s">
        <v>6</v>
      </c>
      <c r="F1" s="7"/>
    </row>
    <row r="2" spans="1:6" x14ac:dyDescent="0.55000000000000004">
      <c r="A2" s="3">
        <v>44251</v>
      </c>
      <c r="B2" s="4">
        <v>13.9102617099649</v>
      </c>
      <c r="C2" s="5">
        <v>3.637653043693089</v>
      </c>
      <c r="D2" s="6" t="s">
        <v>11</v>
      </c>
    </row>
    <row r="3" spans="1:6" x14ac:dyDescent="0.55000000000000004">
      <c r="A3" s="3">
        <v>44258</v>
      </c>
      <c r="B3" s="4">
        <v>4.8935826422726727</v>
      </c>
      <c r="C3" s="4">
        <v>5.3339990863527005</v>
      </c>
      <c r="D3" s="4" t="s">
        <v>11</v>
      </c>
    </row>
    <row r="4" spans="1:6" x14ac:dyDescent="0.55000000000000004">
      <c r="A4" s="3">
        <v>44265</v>
      </c>
      <c r="B4" s="4">
        <v>5.5298242185839035</v>
      </c>
      <c r="C4" s="4">
        <v>0.72057309502624689</v>
      </c>
      <c r="D4" s="4" t="s">
        <v>11</v>
      </c>
    </row>
    <row r="5" spans="1:6" x14ac:dyDescent="0.55000000000000004">
      <c r="A5" s="3">
        <v>44272</v>
      </c>
      <c r="B5" s="4">
        <v>1.6054673403733641</v>
      </c>
      <c r="C5" s="4">
        <v>0.6540064481740977</v>
      </c>
      <c r="D5" s="4" t="s">
        <v>11</v>
      </c>
    </row>
    <row r="6" spans="1:6" x14ac:dyDescent="0.55000000000000004">
      <c r="A6" s="3">
        <v>44279</v>
      </c>
      <c r="B6" s="4">
        <v>2.5092157616982558</v>
      </c>
      <c r="C6" s="4">
        <v>2.6613114515607905</v>
      </c>
      <c r="D6" s="4" t="s">
        <v>11</v>
      </c>
    </row>
    <row r="7" spans="1:6" x14ac:dyDescent="0.55000000000000004">
      <c r="A7" s="3">
        <v>44286</v>
      </c>
      <c r="B7" s="4">
        <v>7.6170073136173562</v>
      </c>
      <c r="C7" s="4">
        <v>4.272295836099862</v>
      </c>
      <c r="D7" s="4" t="s">
        <v>11</v>
      </c>
    </row>
    <row r="8" spans="1:6" x14ac:dyDescent="0.55000000000000004">
      <c r="A8" s="3">
        <v>44294</v>
      </c>
      <c r="B8" s="4">
        <v>11.568876225495908</v>
      </c>
      <c r="C8" s="4">
        <v>1.199463102700459</v>
      </c>
      <c r="D8" s="6" t="s">
        <v>11</v>
      </c>
    </row>
    <row r="9" spans="1:6" x14ac:dyDescent="0.55000000000000004">
      <c r="A9" s="3">
        <v>44300</v>
      </c>
      <c r="B9" s="4">
        <v>19.857758219902951</v>
      </c>
      <c r="C9" s="4">
        <v>43.166946364163266</v>
      </c>
      <c r="D9" s="4" t="s">
        <v>11</v>
      </c>
    </row>
    <row r="10" spans="1:6" x14ac:dyDescent="0.55000000000000004">
      <c r="A10" s="3">
        <v>44307</v>
      </c>
      <c r="B10" s="6">
        <v>12.977426045124398</v>
      </c>
      <c r="C10" s="6">
        <v>15.988525602668382</v>
      </c>
      <c r="D10" s="6" t="s">
        <v>11</v>
      </c>
      <c r="E10" t="s">
        <v>8</v>
      </c>
    </row>
    <row r="11" spans="1:6" x14ac:dyDescent="0.55000000000000004">
      <c r="A11" s="3">
        <v>44314</v>
      </c>
      <c r="B11" s="4">
        <v>10.0042884230208</v>
      </c>
      <c r="C11" s="4">
        <v>26.688951159869138</v>
      </c>
      <c r="D11" s="4" t="s">
        <v>11</v>
      </c>
    </row>
    <row r="12" spans="1:6" x14ac:dyDescent="0.55000000000000004">
      <c r="A12" s="3">
        <v>44321</v>
      </c>
      <c r="B12" s="4">
        <v>6.6949507961289552</v>
      </c>
      <c r="C12" s="4">
        <v>5.6726301903119118</v>
      </c>
      <c r="D12" s="4" t="s">
        <v>11</v>
      </c>
    </row>
    <row r="13" spans="1:6" x14ac:dyDescent="0.55000000000000004">
      <c r="A13" s="3">
        <v>44328</v>
      </c>
      <c r="B13" s="4">
        <v>6.4106410121619071</v>
      </c>
      <c r="C13" s="4">
        <v>18.915151386548374</v>
      </c>
      <c r="D13" s="4" t="s">
        <v>11</v>
      </c>
    </row>
    <row r="14" spans="1:6" x14ac:dyDescent="0.55000000000000004">
      <c r="A14" s="3">
        <v>44335</v>
      </c>
      <c r="B14" s="4">
        <v>14.280297715838952</v>
      </c>
      <c r="C14" s="4">
        <v>31.761575560179427</v>
      </c>
      <c r="D14" s="4" t="s">
        <v>11</v>
      </c>
    </row>
    <row r="15" spans="1:6" x14ac:dyDescent="0.55000000000000004">
      <c r="A15" s="3">
        <v>44343</v>
      </c>
      <c r="B15" s="4">
        <v>1.2375786545793097</v>
      </c>
      <c r="C15" s="4">
        <v>5.3460310707376044E-2</v>
      </c>
      <c r="D15" s="4" t="s">
        <v>11</v>
      </c>
    </row>
    <row r="16" spans="1:6" x14ac:dyDescent="0.55000000000000004">
      <c r="A16" s="3">
        <v>44349</v>
      </c>
      <c r="B16" s="4">
        <v>3.5856156834866786</v>
      </c>
      <c r="C16" s="4">
        <v>1.0801534005281281</v>
      </c>
      <c r="D16" s="6" t="s">
        <v>11</v>
      </c>
    </row>
    <row r="17" spans="1:4" x14ac:dyDescent="0.55000000000000004">
      <c r="A17" s="3">
        <v>44356</v>
      </c>
      <c r="B17" s="4">
        <v>0.64518995041939653</v>
      </c>
      <c r="C17" s="4">
        <v>0.13938173037564672</v>
      </c>
      <c r="D17" s="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4.4" x14ac:dyDescent="0.55000000000000004"/>
  <sheetData>
    <row r="1" spans="1:6" x14ac:dyDescent="0.55000000000000004">
      <c r="A1" s="1" t="s">
        <v>0</v>
      </c>
      <c r="B1" s="2" t="s">
        <v>1</v>
      </c>
      <c r="C1" s="2" t="s">
        <v>4</v>
      </c>
      <c r="D1" s="2" t="s">
        <v>5</v>
      </c>
      <c r="E1" s="7" t="s">
        <v>6</v>
      </c>
      <c r="F1" s="7"/>
    </row>
    <row r="2" spans="1:6" x14ac:dyDescent="0.55000000000000004">
      <c r="A2" s="3">
        <v>44279</v>
      </c>
      <c r="B2" s="4">
        <v>2.0155704119064901</v>
      </c>
      <c r="C2" s="9">
        <v>8.1859974751628943</v>
      </c>
      <c r="D2" s="9" t="s">
        <v>12</v>
      </c>
    </row>
    <row r="3" spans="1:6" x14ac:dyDescent="0.55000000000000004">
      <c r="A3" s="3">
        <v>44286</v>
      </c>
      <c r="B3" s="4">
        <v>3.842711499904226</v>
      </c>
      <c r="C3" s="9">
        <v>11.171586561324554</v>
      </c>
      <c r="D3" s="9" t="s">
        <v>12</v>
      </c>
    </row>
    <row r="4" spans="1:6" x14ac:dyDescent="0.55000000000000004">
      <c r="A4" s="3">
        <v>44294</v>
      </c>
      <c r="B4" s="4">
        <v>15.726753407240276</v>
      </c>
      <c r="C4" s="9">
        <v>1.9484744730176491</v>
      </c>
      <c r="D4" s="10" t="s">
        <v>12</v>
      </c>
    </row>
    <row r="5" spans="1:6" x14ac:dyDescent="0.55000000000000004">
      <c r="A5" s="3">
        <v>44300</v>
      </c>
      <c r="B5" s="4">
        <v>15.972111592894978</v>
      </c>
      <c r="C5" s="9">
        <v>11.949482559589498</v>
      </c>
      <c r="D5" s="9" t="s">
        <v>12</v>
      </c>
    </row>
    <row r="6" spans="1:6" x14ac:dyDescent="0.55000000000000004">
      <c r="A6" s="3">
        <v>44307</v>
      </c>
      <c r="B6" s="6">
        <v>24.023270120588762</v>
      </c>
      <c r="C6" s="10">
        <v>40.227837187142228</v>
      </c>
      <c r="D6" s="10" t="s">
        <v>12</v>
      </c>
      <c r="E6" t="s">
        <v>8</v>
      </c>
    </row>
    <row r="7" spans="1:6" x14ac:dyDescent="0.55000000000000004">
      <c r="A7" s="3">
        <v>44314</v>
      </c>
      <c r="B7" s="4">
        <v>9.2991806507136925</v>
      </c>
      <c r="C7" s="9">
        <v>13.05566192685767</v>
      </c>
      <c r="D7" s="9" t="s">
        <v>12</v>
      </c>
    </row>
    <row r="8" spans="1:6" x14ac:dyDescent="0.55000000000000004">
      <c r="A8" s="3">
        <v>44321</v>
      </c>
      <c r="B8" s="4">
        <v>12.704714196184423</v>
      </c>
      <c r="C8" s="9">
        <v>10.747335652869728</v>
      </c>
      <c r="D8" s="9" t="s">
        <v>12</v>
      </c>
    </row>
    <row r="9" spans="1:6" x14ac:dyDescent="0.55000000000000004">
      <c r="A9" s="3">
        <v>44328</v>
      </c>
      <c r="B9" s="4">
        <v>5.9377668555556848</v>
      </c>
      <c r="C9" s="9">
        <v>4.8242015323924576</v>
      </c>
      <c r="D9" s="9" t="s">
        <v>12</v>
      </c>
    </row>
    <row r="10" spans="1:6" x14ac:dyDescent="0.55000000000000004">
      <c r="A10" s="3">
        <v>44335</v>
      </c>
      <c r="B10" s="4">
        <v>19.14013400809192</v>
      </c>
      <c r="C10" s="9">
        <v>10.028314406520639</v>
      </c>
      <c r="D10" s="9" t="s">
        <v>12</v>
      </c>
    </row>
    <row r="11" spans="1:6" x14ac:dyDescent="0.55000000000000004">
      <c r="A11" s="3">
        <v>44343</v>
      </c>
      <c r="B11" s="4">
        <v>1.4776389634421976</v>
      </c>
      <c r="C11" s="9">
        <v>1.2246657992005054</v>
      </c>
      <c r="D11" s="9" t="s">
        <v>12</v>
      </c>
    </row>
    <row r="12" spans="1:6" x14ac:dyDescent="0.55000000000000004">
      <c r="A12" s="3">
        <v>44349</v>
      </c>
      <c r="B12" s="4">
        <v>12.769637984759715</v>
      </c>
      <c r="C12" s="9">
        <v>0</v>
      </c>
      <c r="D12" s="10" t="s">
        <v>12</v>
      </c>
    </row>
    <row r="13" spans="1:6" x14ac:dyDescent="0.55000000000000004">
      <c r="A13" s="3">
        <v>44356</v>
      </c>
      <c r="B13" s="4">
        <v>13.81362640659867</v>
      </c>
      <c r="C13" s="9">
        <v>0</v>
      </c>
      <c r="D13" s="9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4.4" x14ac:dyDescent="0.55000000000000004"/>
  <cols>
    <col min="1" max="1" width="12.5234375" customWidth="1"/>
    <col min="2" max="2" width="13.47265625" customWidth="1"/>
    <col min="3" max="3" width="14.3671875" customWidth="1"/>
    <col min="4" max="4" width="15.7890625" customWidth="1"/>
    <col min="5" max="5" width="14.7890625" customWidth="1"/>
  </cols>
  <sheetData>
    <row r="1" spans="1:6" x14ac:dyDescent="0.55000000000000004">
      <c r="A1" s="1" t="s">
        <v>0</v>
      </c>
      <c r="B1" s="2" t="s">
        <v>1</v>
      </c>
      <c r="C1" s="2" t="s">
        <v>4</v>
      </c>
      <c r="D1" s="2" t="s">
        <v>5</v>
      </c>
      <c r="E1" s="7" t="s">
        <v>6</v>
      </c>
      <c r="F1" s="7"/>
    </row>
    <row r="2" spans="1:6" x14ac:dyDescent="0.55000000000000004">
      <c r="A2" s="3">
        <v>44251</v>
      </c>
      <c r="B2" s="4">
        <v>58242.353309117061</v>
      </c>
      <c r="C2" s="4">
        <v>93735.050829621803</v>
      </c>
      <c r="D2" s="6" t="s">
        <v>13</v>
      </c>
    </row>
    <row r="3" spans="1:6" x14ac:dyDescent="0.55000000000000004">
      <c r="A3" s="3">
        <v>44258</v>
      </c>
      <c r="B3" s="4">
        <v>21436.324285424329</v>
      </c>
      <c r="C3" s="4">
        <v>32464.441292590502</v>
      </c>
      <c r="D3" s="4" t="s">
        <v>13</v>
      </c>
    </row>
    <row r="4" spans="1:6" x14ac:dyDescent="0.55000000000000004">
      <c r="A4" s="3">
        <v>44265</v>
      </c>
      <c r="B4" s="4">
        <v>65082.711463074411</v>
      </c>
      <c r="C4" s="4">
        <v>39898.140900787548</v>
      </c>
      <c r="D4" s="4" t="s">
        <v>13</v>
      </c>
    </row>
    <row r="5" spans="1:6" x14ac:dyDescent="0.55000000000000004">
      <c r="A5" s="3">
        <v>44272</v>
      </c>
      <c r="B5" s="4">
        <v>4778.0289405027388</v>
      </c>
      <c r="C5" s="4">
        <v>5026.3106485563258</v>
      </c>
      <c r="D5" s="4" t="s">
        <v>13</v>
      </c>
    </row>
    <row r="6" spans="1:6" x14ac:dyDescent="0.55000000000000004">
      <c r="A6" s="3">
        <v>44279</v>
      </c>
      <c r="B6" s="4">
        <v>4287.6864358643224</v>
      </c>
      <c r="C6" s="4">
        <v>6149.6375988691407</v>
      </c>
      <c r="D6" s="4" t="s">
        <v>13</v>
      </c>
    </row>
    <row r="7" spans="1:6" x14ac:dyDescent="0.55000000000000004">
      <c r="A7" s="3">
        <v>44286</v>
      </c>
      <c r="B7" s="4">
        <v>10432.13360395983</v>
      </c>
      <c r="C7" s="4">
        <v>11447.996290289515</v>
      </c>
      <c r="D7" s="4" t="s">
        <v>13</v>
      </c>
    </row>
    <row r="8" spans="1:6" x14ac:dyDescent="0.55000000000000004">
      <c r="A8" s="3">
        <v>44294</v>
      </c>
      <c r="B8" s="4">
        <v>17770.756878549048</v>
      </c>
      <c r="C8" s="4">
        <v>18269.892859879215</v>
      </c>
      <c r="D8" s="6" t="s">
        <v>13</v>
      </c>
    </row>
    <row r="9" spans="1:6" x14ac:dyDescent="0.55000000000000004">
      <c r="A9" s="3">
        <v>44300</v>
      </c>
      <c r="B9" s="4">
        <v>8474.2659297356586</v>
      </c>
      <c r="C9" s="4">
        <v>9683.8933684262138</v>
      </c>
      <c r="D9" s="4" t="s">
        <v>13</v>
      </c>
    </row>
    <row r="10" spans="1:6" x14ac:dyDescent="0.55000000000000004">
      <c r="A10" s="3">
        <v>44307</v>
      </c>
      <c r="B10" s="6">
        <v>6907.3253799352588</v>
      </c>
      <c r="C10" s="6">
        <v>8215.4465834432267</v>
      </c>
      <c r="D10" s="6" t="s">
        <v>13</v>
      </c>
      <c r="E10" t="s">
        <v>8</v>
      </c>
    </row>
    <row r="11" spans="1:6" x14ac:dyDescent="0.55000000000000004">
      <c r="A11" s="3">
        <v>44314</v>
      </c>
      <c r="B11" s="4">
        <v>12350.403592859631</v>
      </c>
      <c r="C11" s="4">
        <v>14845.193189570535</v>
      </c>
      <c r="D11" s="4" t="s">
        <v>13</v>
      </c>
    </row>
    <row r="12" spans="1:6" x14ac:dyDescent="0.55000000000000004">
      <c r="A12" s="3">
        <v>44321</v>
      </c>
      <c r="B12" s="4">
        <v>8578.1497135648424</v>
      </c>
      <c r="C12" s="4">
        <v>13202.550320374654</v>
      </c>
      <c r="D12" s="4" t="s">
        <v>13</v>
      </c>
    </row>
    <row r="13" spans="1:6" x14ac:dyDescent="0.55000000000000004">
      <c r="A13" s="3">
        <v>44328</v>
      </c>
      <c r="B13" s="4">
        <v>29831.446917483194</v>
      </c>
      <c r="C13" s="4">
        <v>36159.63190699643</v>
      </c>
      <c r="D13" s="4" t="s">
        <v>13</v>
      </c>
    </row>
    <row r="14" spans="1:6" x14ac:dyDescent="0.55000000000000004">
      <c r="A14" s="3">
        <v>44335</v>
      </c>
      <c r="B14" s="4">
        <v>17571.316273469882</v>
      </c>
      <c r="C14" s="4">
        <v>21706.004095748111</v>
      </c>
      <c r="D14" s="4" t="s">
        <v>13</v>
      </c>
    </row>
    <row r="15" spans="1:6" x14ac:dyDescent="0.55000000000000004">
      <c r="A15" s="3">
        <v>44343</v>
      </c>
      <c r="B15" s="4">
        <v>15817.936924434905</v>
      </c>
      <c r="C15" s="4">
        <v>12952.415251252187</v>
      </c>
      <c r="D15" s="4" t="s">
        <v>13</v>
      </c>
    </row>
    <row r="16" spans="1:6" x14ac:dyDescent="0.55000000000000004">
      <c r="A16" s="3">
        <v>44349</v>
      </c>
      <c r="B16" s="4">
        <v>18847.847018136563</v>
      </c>
      <c r="C16" s="4">
        <v>33774.966334434881</v>
      </c>
      <c r="D16" s="6" t="s">
        <v>13</v>
      </c>
    </row>
    <row r="17" spans="1:4" x14ac:dyDescent="0.55000000000000004">
      <c r="A17" s="3">
        <v>44356</v>
      </c>
      <c r="B17" s="4">
        <v>20604.676617102217</v>
      </c>
      <c r="C17" s="4">
        <v>17151.868822593486</v>
      </c>
      <c r="D17" s="4" t="s">
        <v>13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4.4" x14ac:dyDescent="0.55000000000000004"/>
  <cols>
    <col min="1" max="1" width="16.1015625" customWidth="1"/>
    <col min="2" max="2" width="13.5234375" customWidth="1"/>
    <col min="3" max="3" width="14.3671875" customWidth="1"/>
    <col min="4" max="4" width="12.734375" customWidth="1"/>
    <col min="5" max="5" width="14.89453125" customWidth="1"/>
    <col min="6" max="6" width="11.26171875" customWidth="1"/>
  </cols>
  <sheetData>
    <row r="1" spans="1:6" x14ac:dyDescent="0.55000000000000004">
      <c r="A1" s="1" t="s">
        <v>0</v>
      </c>
      <c r="B1" s="2" t="s">
        <v>1</v>
      </c>
      <c r="C1" s="2" t="s">
        <v>4</v>
      </c>
      <c r="D1" s="2" t="s">
        <v>5</v>
      </c>
      <c r="E1" s="7" t="s">
        <v>6</v>
      </c>
      <c r="F1" s="7"/>
    </row>
    <row r="2" spans="1:6" x14ac:dyDescent="0.55000000000000004">
      <c r="A2" s="3">
        <v>44279</v>
      </c>
      <c r="B2" s="9" t="s">
        <v>2</v>
      </c>
      <c r="C2" s="9" t="s">
        <v>2</v>
      </c>
      <c r="D2" s="9" t="s">
        <v>14</v>
      </c>
      <c r="E2" s="11"/>
    </row>
    <row r="3" spans="1:6" x14ac:dyDescent="0.55000000000000004">
      <c r="A3" s="3">
        <v>44286</v>
      </c>
      <c r="B3" s="4">
        <v>3042.0449888687158</v>
      </c>
      <c r="C3" s="4">
        <v>3465.9710990006693</v>
      </c>
      <c r="D3" s="4" t="s">
        <v>14</v>
      </c>
      <c r="E3" s="11"/>
    </row>
    <row r="4" spans="1:6" x14ac:dyDescent="0.55000000000000004">
      <c r="A4" s="3">
        <v>44294</v>
      </c>
      <c r="B4" s="4">
        <v>50818.32187518353</v>
      </c>
      <c r="C4" s="4">
        <v>7781.6656210282044</v>
      </c>
      <c r="D4" s="6" t="s">
        <v>14</v>
      </c>
      <c r="E4" s="11"/>
    </row>
    <row r="5" spans="1:6" x14ac:dyDescent="0.55000000000000004">
      <c r="A5" s="3">
        <v>44300</v>
      </c>
      <c r="B5" s="4">
        <v>17422.635693130112</v>
      </c>
      <c r="C5" s="4">
        <v>19019.642777624598</v>
      </c>
      <c r="D5" s="4" t="s">
        <v>14</v>
      </c>
      <c r="E5" s="11"/>
    </row>
    <row r="6" spans="1:6" x14ac:dyDescent="0.55000000000000004">
      <c r="A6" s="3">
        <v>44307</v>
      </c>
      <c r="B6" s="6">
        <v>11455.370097710824</v>
      </c>
      <c r="C6" s="6">
        <v>12111.244906473457</v>
      </c>
      <c r="D6" s="6" t="s">
        <v>14</v>
      </c>
      <c r="E6" s="11" t="s">
        <v>8</v>
      </c>
    </row>
    <row r="7" spans="1:6" x14ac:dyDescent="0.55000000000000004">
      <c r="A7" s="3">
        <v>44314</v>
      </c>
      <c r="B7" s="4">
        <v>10816.358890489275</v>
      </c>
      <c r="C7" s="4">
        <v>6743.8811456386757</v>
      </c>
      <c r="D7" s="4" t="s">
        <v>14</v>
      </c>
      <c r="E7" s="11"/>
    </row>
    <row r="8" spans="1:6" x14ac:dyDescent="0.55000000000000004">
      <c r="A8" s="3">
        <v>44321</v>
      </c>
      <c r="B8" s="4">
        <v>4882.6306468309576</v>
      </c>
      <c r="C8" s="4">
        <v>8788.7200943828248</v>
      </c>
      <c r="D8" s="4" t="s">
        <v>14</v>
      </c>
      <c r="E8" s="11"/>
    </row>
    <row r="9" spans="1:6" x14ac:dyDescent="0.55000000000000004">
      <c r="A9" s="3">
        <v>44328</v>
      </c>
      <c r="B9" s="4">
        <v>20490.352561925378</v>
      </c>
      <c r="C9" s="4">
        <v>23138.884870636535</v>
      </c>
      <c r="D9" s="4" t="s">
        <v>14</v>
      </c>
      <c r="E9" s="11"/>
    </row>
    <row r="10" spans="1:6" x14ac:dyDescent="0.55000000000000004">
      <c r="A10" s="3">
        <v>44335</v>
      </c>
      <c r="B10" s="4">
        <v>9281.8640107741739</v>
      </c>
      <c r="C10" s="4">
        <v>9204.4899152837752</v>
      </c>
      <c r="D10" s="4" t="s">
        <v>14</v>
      </c>
      <c r="E10" s="11"/>
    </row>
    <row r="11" spans="1:6" x14ac:dyDescent="0.55000000000000004">
      <c r="A11" s="3">
        <v>44343</v>
      </c>
      <c r="B11" s="4">
        <v>10289.330808073508</v>
      </c>
      <c r="C11" s="4">
        <v>12871.930269437496</v>
      </c>
      <c r="D11" s="4" t="s">
        <v>14</v>
      </c>
      <c r="E11" s="11"/>
    </row>
    <row r="12" spans="1:6" x14ac:dyDescent="0.55000000000000004">
      <c r="A12" s="3">
        <v>44349</v>
      </c>
      <c r="B12" s="4">
        <v>14196.927273201938</v>
      </c>
      <c r="C12" s="4">
        <v>5525.3554121382222</v>
      </c>
      <c r="D12" s="6" t="s">
        <v>14</v>
      </c>
      <c r="E12" s="11"/>
    </row>
    <row r="13" spans="1:6" x14ac:dyDescent="0.55000000000000004">
      <c r="A13" s="3">
        <v>44356</v>
      </c>
      <c r="B13" s="4">
        <v>19853.013455567394</v>
      </c>
      <c r="C13" s="4">
        <v>25314.382268652837</v>
      </c>
      <c r="D13" s="4" t="s">
        <v>14</v>
      </c>
      <c r="E13" s="11"/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55000000000000004"/>
  <sheetData>
    <row r="1" spans="1:2" x14ac:dyDescent="0.55000000000000004">
      <c r="B1" s="12" t="s">
        <v>3</v>
      </c>
    </row>
    <row r="2" spans="1:2" x14ac:dyDescent="0.55000000000000004">
      <c r="A2" s="13" t="s">
        <v>1</v>
      </c>
      <c r="B2" s="14">
        <v>0</v>
      </c>
    </row>
    <row r="3" spans="1:2" x14ac:dyDescent="0.55000000000000004">
      <c r="A3" s="13" t="s">
        <v>4</v>
      </c>
      <c r="B3" s="14">
        <v>7.9</v>
      </c>
    </row>
    <row r="4" spans="1:2" x14ac:dyDescent="0.55000000000000004">
      <c r="A4" s="13"/>
      <c r="B4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4.4" x14ac:dyDescent="0.55000000000000004"/>
  <cols>
    <col min="1" max="1" width="13.1015625" customWidth="1"/>
    <col min="5" max="5" width="23.47265625" customWidth="1"/>
  </cols>
  <sheetData>
    <row r="1" spans="1:5" x14ac:dyDescent="0.55000000000000004">
      <c r="A1" s="2" t="s">
        <v>0</v>
      </c>
      <c r="B1" s="2" t="s">
        <v>1</v>
      </c>
      <c r="C1" s="2" t="s">
        <v>4</v>
      </c>
      <c r="D1" s="2" t="s">
        <v>5</v>
      </c>
      <c r="E1" s="7"/>
    </row>
    <row r="2" spans="1:5" x14ac:dyDescent="0.55000000000000004">
      <c r="A2" s="3">
        <v>44251</v>
      </c>
      <c r="B2" s="2">
        <v>1398.0000000000014</v>
      </c>
      <c r="C2" s="2">
        <v>1148.0000000000023</v>
      </c>
      <c r="D2" s="14" t="s">
        <v>15</v>
      </c>
      <c r="E2" s="7"/>
    </row>
    <row r="3" spans="1:5" x14ac:dyDescent="0.55000000000000004">
      <c r="A3" s="3">
        <v>44258</v>
      </c>
      <c r="B3" s="2">
        <v>1013.0000000000017</v>
      </c>
      <c r="C3" s="2">
        <v>955.99999999999682</v>
      </c>
      <c r="D3" s="2" t="s">
        <v>15</v>
      </c>
      <c r="E3" s="7"/>
    </row>
    <row r="4" spans="1:5" x14ac:dyDescent="0.55000000000000004">
      <c r="A4" s="3">
        <v>44265</v>
      </c>
      <c r="B4" s="2">
        <v>959.00000000000318</v>
      </c>
      <c r="C4" s="2">
        <v>1217.0000000000014</v>
      </c>
      <c r="D4" s="2" t="s">
        <v>15</v>
      </c>
      <c r="E4" s="7"/>
    </row>
    <row r="5" spans="1:5" x14ac:dyDescent="0.55000000000000004">
      <c r="A5" s="3">
        <v>44272</v>
      </c>
      <c r="B5" s="2">
        <v>1124.0000000000005</v>
      </c>
      <c r="C5" s="2">
        <v>1276.0000000000016</v>
      </c>
      <c r="D5" s="2" t="s">
        <v>15</v>
      </c>
      <c r="E5" s="7"/>
    </row>
    <row r="6" spans="1:5" x14ac:dyDescent="0.55000000000000004">
      <c r="A6" s="3">
        <v>44279</v>
      </c>
      <c r="B6" s="2">
        <v>1049.0000000000023</v>
      </c>
      <c r="C6" s="2">
        <v>1375.9999999999995</v>
      </c>
      <c r="D6" s="2" t="s">
        <v>15</v>
      </c>
      <c r="E6" s="7"/>
    </row>
    <row r="7" spans="1:5" x14ac:dyDescent="0.55000000000000004">
      <c r="A7" s="3">
        <v>44286</v>
      </c>
      <c r="B7" s="2">
        <v>1170</v>
      </c>
      <c r="C7" s="2">
        <v>1360.0000000000014</v>
      </c>
      <c r="D7" s="2" t="s">
        <v>15</v>
      </c>
      <c r="E7" s="7"/>
    </row>
    <row r="8" spans="1:5" x14ac:dyDescent="0.55000000000000004">
      <c r="A8" s="3">
        <v>44294</v>
      </c>
      <c r="B8" s="2">
        <v>1131.9999999999952</v>
      </c>
      <c r="C8" s="2">
        <v>1078.9999999999945</v>
      </c>
      <c r="D8" s="14" t="s">
        <v>15</v>
      </c>
      <c r="E8" s="7"/>
    </row>
    <row r="9" spans="1:5" x14ac:dyDescent="0.55000000000000004">
      <c r="A9" s="3">
        <v>44300</v>
      </c>
      <c r="B9" s="2">
        <v>1026.9999999999957</v>
      </c>
      <c r="C9" s="2">
        <v>2117.9999999999932</v>
      </c>
      <c r="D9" s="2" t="s">
        <v>15</v>
      </c>
      <c r="E9" s="7"/>
    </row>
    <row r="10" spans="1:5" x14ac:dyDescent="0.55000000000000004">
      <c r="A10" s="3">
        <v>44307</v>
      </c>
      <c r="B10" s="14">
        <v>986.00000000000239</v>
      </c>
      <c r="C10" s="14">
        <v>977.00000000000114</v>
      </c>
      <c r="D10" s="14" t="s">
        <v>15</v>
      </c>
      <c r="E10" s="7"/>
    </row>
    <row r="11" spans="1:5" x14ac:dyDescent="0.55000000000000004">
      <c r="A11" s="3">
        <v>44314</v>
      </c>
      <c r="B11" s="2">
        <v>1014.999999999997</v>
      </c>
      <c r="C11" s="2">
        <v>985.00000000000034</v>
      </c>
      <c r="D11" s="2" t="s">
        <v>15</v>
      </c>
      <c r="E11" s="7"/>
    </row>
    <row r="12" spans="1:5" x14ac:dyDescent="0.55000000000000004">
      <c r="A12" s="3">
        <v>44321</v>
      </c>
      <c r="B12" s="2">
        <v>1036.9999999999991</v>
      </c>
      <c r="C12" s="2">
        <v>2050.9999999999982</v>
      </c>
      <c r="D12" s="2" t="s">
        <v>15</v>
      </c>
      <c r="E12" s="7"/>
    </row>
    <row r="13" spans="1:5" x14ac:dyDescent="0.55000000000000004">
      <c r="A13" s="3">
        <v>44328</v>
      </c>
      <c r="B13" s="2">
        <v>974.99999999999704</v>
      </c>
      <c r="C13" s="2">
        <v>1005.9999999999957</v>
      </c>
      <c r="D13" s="2" t="s">
        <v>15</v>
      </c>
      <c r="E13" s="7"/>
    </row>
    <row r="14" spans="1:5" x14ac:dyDescent="0.55000000000000004">
      <c r="A14" s="3">
        <v>44335</v>
      </c>
      <c r="B14" s="2">
        <v>958.00000000000114</v>
      </c>
      <c r="C14" s="2">
        <v>825.99999999999784</v>
      </c>
      <c r="D14" s="2" t="s">
        <v>15</v>
      </c>
      <c r="E14" s="7"/>
    </row>
    <row r="15" spans="1:5" x14ac:dyDescent="0.55000000000000004">
      <c r="A15" s="3">
        <v>44343</v>
      </c>
      <c r="B15" s="2">
        <v>785.00000000000023</v>
      </c>
      <c r="C15" s="2">
        <v>902.00000000000273</v>
      </c>
      <c r="D15" s="2" t="s">
        <v>15</v>
      </c>
      <c r="E15" s="7"/>
    </row>
    <row r="16" spans="1:5" x14ac:dyDescent="0.55000000000000004">
      <c r="A16" s="3">
        <v>44349</v>
      </c>
      <c r="B16" s="2">
        <v>985.00000000000477</v>
      </c>
      <c r="C16" s="2">
        <v>1011.0000000000019</v>
      </c>
      <c r="D16" s="14" t="s">
        <v>15</v>
      </c>
      <c r="E16" s="7"/>
    </row>
    <row r="17" spans="1:5" x14ac:dyDescent="0.55000000000000004">
      <c r="A17" s="3">
        <v>44356</v>
      </c>
      <c r="B17" s="2">
        <v>840.0000000000008</v>
      </c>
      <c r="C17" s="2">
        <v>4314</v>
      </c>
      <c r="D17" s="2" t="s">
        <v>15</v>
      </c>
      <c r="E17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G26" sqref="G26"/>
    </sheetView>
  </sheetViews>
  <sheetFormatPr defaultRowHeight="14.4" x14ac:dyDescent="0.55000000000000004"/>
  <cols>
    <col min="1" max="1" width="11.5234375" customWidth="1"/>
    <col min="5" max="5" width="18.734375" customWidth="1"/>
  </cols>
  <sheetData>
    <row r="1" spans="1:5" x14ac:dyDescent="0.55000000000000004">
      <c r="A1" s="2" t="s">
        <v>0</v>
      </c>
      <c r="B1" s="2" t="s">
        <v>1</v>
      </c>
      <c r="C1" s="2" t="s">
        <v>4</v>
      </c>
      <c r="D1" s="2" t="s">
        <v>5</v>
      </c>
      <c r="E1" s="7"/>
    </row>
    <row r="2" spans="1:5" x14ac:dyDescent="0.55000000000000004">
      <c r="A2" s="3">
        <v>44251</v>
      </c>
      <c r="B2" s="2">
        <v>375.99999999999858</v>
      </c>
      <c r="C2" s="2">
        <v>511.00000000000364</v>
      </c>
      <c r="D2" s="14" t="s">
        <v>16</v>
      </c>
      <c r="E2" s="7"/>
    </row>
    <row r="3" spans="1:5" x14ac:dyDescent="0.55000000000000004">
      <c r="A3" s="3">
        <v>44258</v>
      </c>
      <c r="B3" s="2">
        <v>363.00000000000222</v>
      </c>
      <c r="C3" s="2">
        <v>343.99999999999761</v>
      </c>
      <c r="D3" s="2" t="s">
        <v>16</v>
      </c>
      <c r="E3" s="7"/>
    </row>
    <row r="4" spans="1:5" x14ac:dyDescent="0.55000000000000004">
      <c r="A4" s="3">
        <v>44265</v>
      </c>
      <c r="B4" s="2">
        <v>367.00000000000625</v>
      </c>
      <c r="C4" s="2">
        <v>588.00000000000182</v>
      </c>
      <c r="D4" s="2" t="s">
        <v>16</v>
      </c>
      <c r="E4" s="7"/>
    </row>
    <row r="5" spans="1:5" x14ac:dyDescent="0.55000000000000004">
      <c r="A5" s="3">
        <v>44272</v>
      </c>
      <c r="B5" s="2">
        <v>339.00000000000045</v>
      </c>
      <c r="C5" s="2">
        <v>459.99999999999818</v>
      </c>
      <c r="D5" s="2" t="s">
        <v>16</v>
      </c>
      <c r="E5" s="7"/>
    </row>
    <row r="6" spans="1:5" x14ac:dyDescent="0.55000000000000004">
      <c r="A6" s="3">
        <v>44279</v>
      </c>
      <c r="B6" s="2">
        <v>279.00000000000256</v>
      </c>
      <c r="C6" s="2">
        <v>450.99999999999693</v>
      </c>
      <c r="D6" s="2" t="s">
        <v>16</v>
      </c>
      <c r="E6" s="7"/>
    </row>
    <row r="7" spans="1:5" x14ac:dyDescent="0.55000000000000004">
      <c r="A7" s="3">
        <v>44286</v>
      </c>
      <c r="B7" s="2">
        <v>222.99999999999986</v>
      </c>
      <c r="C7" s="2">
        <v>390.99999999999915</v>
      </c>
      <c r="D7" s="2" t="s">
        <v>16</v>
      </c>
      <c r="E7" s="7"/>
    </row>
    <row r="8" spans="1:5" x14ac:dyDescent="0.55000000000000004">
      <c r="A8" s="3">
        <v>44294</v>
      </c>
      <c r="B8" s="2">
        <v>341.00000000000017</v>
      </c>
      <c r="C8" s="2">
        <v>455.99999999999864</v>
      </c>
      <c r="D8" s="14" t="s">
        <v>16</v>
      </c>
      <c r="E8" s="7"/>
    </row>
    <row r="9" spans="1:5" x14ac:dyDescent="0.55000000000000004">
      <c r="A9" s="3">
        <v>44300</v>
      </c>
      <c r="B9" s="2">
        <v>341.00000000000023</v>
      </c>
      <c r="C9" s="2">
        <v>1411.9999999999955</v>
      </c>
      <c r="D9" s="2" t="s">
        <v>16</v>
      </c>
      <c r="E9" s="7"/>
    </row>
    <row r="10" spans="1:5" x14ac:dyDescent="0.55000000000000004">
      <c r="A10" s="3">
        <v>44307</v>
      </c>
      <c r="B10" s="14">
        <v>308.00000000000159</v>
      </c>
      <c r="C10" s="14">
        <v>325.99999999999966</v>
      </c>
      <c r="D10" s="14" t="s">
        <v>16</v>
      </c>
      <c r="E10" s="7"/>
    </row>
    <row r="11" spans="1:5" x14ac:dyDescent="0.55000000000000004">
      <c r="A11" s="3">
        <v>44314</v>
      </c>
      <c r="B11" s="2">
        <v>362.00000000000011</v>
      </c>
      <c r="C11" s="2">
        <v>438.00000000000057</v>
      </c>
      <c r="D11" s="2" t="s">
        <v>16</v>
      </c>
      <c r="E11" s="7"/>
    </row>
    <row r="12" spans="1:5" x14ac:dyDescent="0.55000000000000004">
      <c r="A12" s="3">
        <v>44321</v>
      </c>
      <c r="B12" s="2">
        <v>339.99999999999807</v>
      </c>
      <c r="C12" s="2">
        <v>1403.9999999999964</v>
      </c>
      <c r="D12" s="2" t="s">
        <v>16</v>
      </c>
      <c r="E12" s="7"/>
    </row>
    <row r="13" spans="1:5" x14ac:dyDescent="0.55000000000000004">
      <c r="A13" s="3">
        <v>44328</v>
      </c>
      <c r="B13" s="2">
        <v>341.99999999999784</v>
      </c>
      <c r="C13" s="2">
        <v>463.99999999999773</v>
      </c>
      <c r="D13" s="2" t="s">
        <v>16</v>
      </c>
      <c r="E13" s="7"/>
    </row>
    <row r="14" spans="1:5" x14ac:dyDescent="0.55000000000000004">
      <c r="A14" s="3">
        <v>44335</v>
      </c>
      <c r="B14" s="2">
        <v>345.99999999999739</v>
      </c>
      <c r="C14" s="2">
        <v>322.00000000000006</v>
      </c>
      <c r="D14" s="2" t="s">
        <v>16</v>
      </c>
      <c r="E14" s="7"/>
    </row>
    <row r="15" spans="1:5" x14ac:dyDescent="0.55000000000000004">
      <c r="A15" s="3">
        <v>44343</v>
      </c>
      <c r="B15" s="2">
        <v>217.00000000000051</v>
      </c>
      <c r="C15" s="2">
        <v>376.00000000000296</v>
      </c>
      <c r="D15" s="2" t="s">
        <v>16</v>
      </c>
      <c r="E15" s="7"/>
    </row>
    <row r="16" spans="1:5" x14ac:dyDescent="0.55000000000000004">
      <c r="A16" s="3">
        <v>44349</v>
      </c>
      <c r="B16" s="2">
        <v>453.00000000000119</v>
      </c>
      <c r="C16" s="2">
        <v>577.00000000000091</v>
      </c>
      <c r="D16" s="14" t="s">
        <v>16</v>
      </c>
      <c r="E16" s="7"/>
    </row>
    <row r="17" spans="1:5" x14ac:dyDescent="0.55000000000000004">
      <c r="A17" s="3">
        <v>44356</v>
      </c>
      <c r="B17" s="2">
        <v>331.99999999999898</v>
      </c>
      <c r="C17" s="2">
        <v>3650.0000000000023</v>
      </c>
      <c r="D17" s="2" t="s">
        <v>16</v>
      </c>
      <c r="E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N1_UF</vt:lpstr>
      <vt:lpstr>N1_CF</vt:lpstr>
      <vt:lpstr>flow</vt:lpstr>
      <vt:lpstr>N2_UF</vt:lpstr>
      <vt:lpstr>N2_CF</vt:lpstr>
      <vt:lpstr>PMMoV_UF</vt:lpstr>
      <vt:lpstr>PMMoV_CF</vt:lpstr>
      <vt:lpstr>Residence Time</vt:lpstr>
      <vt:lpstr>TS</vt:lpstr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Sooshia</cp:lastModifiedBy>
  <dcterms:modified xsi:type="dcterms:W3CDTF">2026-08-05T21:04:48Z</dcterms:modified>
</cp:coreProperties>
</file>